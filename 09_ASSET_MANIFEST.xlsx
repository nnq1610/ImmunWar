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2e5f638bc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276a907a2d4cef"/>
    <x:sheet xmlns:r="http://schemas.openxmlformats.org/officeDocument/2006/relationships" name="Assets" sheetId="2" r:id="R95fb4cc645524fd2"/>
    <x:sheet xmlns:r="http://schemas.openxmlformats.org/officeDocument/2006/relationships" name="Lookup" sheetId="3" r:id="Rf00948ef59a1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1F6E8C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53bb295df49a1" /><Relationship Type="http://schemas.openxmlformats.org/officeDocument/2006/relationships/theme" Target="/xl/theme/theme1.xml" Id="R6d98794ee2f24233" /><Relationship Type="http://schemas.openxmlformats.org/officeDocument/2006/relationships/sharedStrings" Target="/xl/sharedStrings.xml" Id="R48b41c5a46384da3" /><Relationship Type="http://schemas.openxmlformats.org/officeDocument/2006/relationships/worksheet" Target="/xl/worksheets/sheet1.xml" Id="R69276a907a2d4cef" /><Relationship Type="http://schemas.openxmlformats.org/officeDocument/2006/relationships/worksheet" Target="/xl/worksheets/sheet2.xml" Id="R95fb4cc645524fd2" /><Relationship Type="http://schemas.openxmlformats.org/officeDocument/2006/relationships/worksheet" Target="/xl/worksheets/sheet3.xml" Id="Rf00948ef59a14a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585b1d3ac449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 Count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'Summary'!$E$4:$E$9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585b1d3ac449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sTable" displayName="AssetsTable" ref="A1:O52" headerRowCount="1" totalsRowCount="0" totalsRowShown="0">
  <x:tableColumns count="15">
    <x:tableColumn id="1" name="ID"/>
    <x:tableColumn id="2" name="Category"/>
    <x:tableColumn id="3" name="Asset"/>
    <x:tableColumn id="4" name="Purpose"/>
    <x:tableColumn id="5" name="Format"/>
    <x:tableColumn id="6" name="Resolution/Length"/>
    <x:tableColumn id="7" name="Alpha"/>
    <x:tableColumn id="8" name="Animation"/>
    <x:tableColumn id="9" name="Source"/>
    <x:tableColumn id="10" name="Unity Path"/>
    <x:tableColumn id="11" name="Status"/>
    <x:tableColumn id="12" name="Priority"/>
    <x:tableColumn id="13" name="Owner"/>
    <x:tableColumn id="14" name="Notes"/>
    <x:tableColumn id="15" name="Lice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eb0ade77784a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8a0a9f1dd3434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</x:cols>
  <x:sheetData>
    <x:row r="1" ht="28" customHeight="1">
      <x:c r="A1" s="7" t="str">
        <x:v>IMMUNE WAR — Asset Manifest Dashboard</x:v>
      </x:c>
      <x:c r="B1" s="7"/>
      <x:c r="C1" s="7"/>
      <x:c r="D1" s="7"/>
      <x:c r="E1" s="7"/>
      <x:c r="F1" s="7"/>
    </x:row>
    <x:row r="3">
      <x:c r="A3" s="16" t="str">
        <x:v>Metric</x:v>
      </x:c>
      <x:c r="B3" s="16" t="str">
        <x:v>Value</x:v>
      </x:c>
      <x:c r="D3" s="16" t="str">
        <x:v>Category</x:v>
      </x:c>
      <x:c r="E3" s="16" t="str">
        <x:v>Count</x:v>
      </x:c>
      <x:c r="F3" s="16" t="str">
        <x:v>Share</x:v>
      </x:c>
    </x:row>
    <x:row r="4">
      <x:c r="A4" t="str">
        <x:v>Total assets</x:v>
      </x:c>
      <x:c r="B4" t="n">
        <x:f>COUNTA(Assets!A2:A200)</x:f>
        <x:v>51</x:v>
      </x:c>
      <x:c r="D4" t="str">
        <x:v>Defender</x:v>
      </x:c>
      <x:c r="E4" t="n">
        <x:f>COUNTIF(Assets!B2:B200,"Defender")</x:f>
        <x:v>6</x:v>
      </x:c>
      <x:c r="F4" s="2" t="n">
        <x:f>E4/$B$4</x:f>
        <x:v>0.11764705882352941</x:v>
      </x:c>
    </x:row>
    <x:row r="5">
      <x:c r="A5" t="str">
        <x:v>Done</x:v>
      </x:c>
      <x:c r="B5" t="n">
        <x:f>COUNTIF(Assets!K2:K200,"Done")</x:f>
        <x:v>0</x:v>
      </x:c>
      <x:c r="D5" t="str">
        <x:v>Enemy</x:v>
      </x:c>
      <x:c r="E5" t="n">
        <x:f>COUNTIF(Assets!B2:B200,"Enemy")</x:f>
        <x:v>4</x:v>
      </x:c>
      <x:c r="F5" s="2" t="n">
        <x:f>E5/$B$4</x:f>
        <x:v>0.0784313725490196</x:v>
      </x:c>
    </x:row>
    <x:row r="6">
      <x:c r="A6" t="str">
        <x:v>In Progress</x:v>
      </x:c>
      <x:c r="B6" t="n">
        <x:f>COUNTIF(Assets!K2:K200,"In Progress")</x:f>
        <x:v>0</x:v>
      </x:c>
      <x:c r="D6" t="str">
        <x:v>Environment</x:v>
      </x:c>
      <x:c r="E6" t="n">
        <x:f>COUNTIF(Assets!B2:B200,"Environment")</x:f>
        <x:v>9</x:v>
      </x:c>
      <x:c r="F6" s="2" t="n">
        <x:f>E6/$B$4</x:f>
        <x:v>0.17647058823529413</x:v>
      </x:c>
    </x:row>
    <x:row r="7">
      <x:c r="A7" t="str">
        <x:v>Todo</x:v>
      </x:c>
      <x:c r="B7" t="n">
        <x:f>COUNTIF(Assets!K2:K200,"Todo")</x:f>
        <x:v>51</x:v>
      </x:c>
      <x:c r="D7" t="str">
        <x:v>VFX</x:v>
      </x:c>
      <x:c r="E7" t="n">
        <x:f>COUNTIF(Assets!B2:B200,"VFX")</x:f>
        <x:v>8</x:v>
      </x:c>
      <x:c r="F7" s="2" t="n">
        <x:f>E7/$B$4</x:f>
        <x:v>0.1568627450980392</x:v>
      </x:c>
    </x:row>
    <x:row r="8">
      <x:c r="A8" t="str">
        <x:v>P0 assets</x:v>
      </x:c>
      <x:c r="B8" t="n">
        <x:f>COUNTIF(Assets!L2:L200,"P0")</x:f>
        <x:v>17</x:v>
      </x:c>
      <x:c r="D8" t="str">
        <x:v>UI</x:v>
      </x:c>
      <x:c r="E8" t="n">
        <x:f>COUNTIF(Assets!B2:B200,"UI")</x:f>
        <x:v>9</x:v>
      </x:c>
      <x:c r="F8" s="2" t="n">
        <x:f>E8/$B$4</x:f>
        <x:v>0.17647058823529413</x:v>
      </x:c>
    </x:row>
    <x:row r="9">
      <x:c r="D9" t="str">
        <x:v>Audio</x:v>
      </x:c>
      <x:c r="E9" t="n">
        <x:f>COUNTIF(Assets!B2:B200,"Audio")</x:f>
        <x:v>15</x:v>
      </x:c>
      <x:c r="F9" s="2" t="n">
        <x:f>E9/$B$4</x:f>
        <x:v>0.29411764705882354</x:v>
      </x:c>
    </x:row>
    <x:row r="28">
      <x:c r="A28" s="26" t="str">
        <x:v>Usage: cập nhật Status/Priority/Owner trong sheet Assets. Dashboard tự tính. Trước khi phát hành, kiểm tra license/terms của mọi asset AI hoặc third-party.</x:v>
      </x:c>
      <x:c r="B28" s="26"/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>
      <x:c r="A30" s="26"/>
      <x:c r="B30" s="26"/>
      <x:c r="C30" s="26"/>
      <x:c r="D30" s="26"/>
      <x:c r="E30" s="26"/>
      <x:c r="F30" s="26"/>
    </x:row>
  </x:sheetData>
  <x:mergeCells>
    <x:mergeCell ref="A1:F1"/>
    <x:mergeCell ref="A28:F30"/>
  </x:mergeCells>
  <x:pageMargins left="0.7" right="0.7" top="0.75" bottom="0.75" header="0.3" footer="0.3"/>
  <x:drawing xmlns:r="http://schemas.openxmlformats.org/officeDocument/2006/relationships" r:id="Rdceb0ade77784a9c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20" hidden="0" customWidth="1"/>
    <x:col min="6" max="6" width="16" hidden="0" customWidth="1"/>
    <x:col min="7" max="7" width="9" hidden="0" customWidth="1"/>
    <x:col min="8" max="8" width="18" hidden="0" customWidth="1"/>
    <x:col min="9" max="9" width="20" hidden="0" customWidth="1"/>
    <x:col min="10" max="10" width="42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22" hidden="0" customWidth="1"/>
  </x:cols>
  <x:sheetData>
    <x:row r="1" ht="30" customHeight="1">
      <x:c r="A1" s="16" t="str">
        <x:v>ID</x:v>
      </x:c>
      <x:c r="B1" s="16" t="str">
        <x:v>Category</x:v>
      </x:c>
      <x:c r="C1" s="16" t="str">
        <x:v>Asset</x:v>
      </x:c>
      <x:c r="D1" s="16" t="str">
        <x:v>Purpose</x:v>
      </x:c>
      <x:c r="E1" s="16" t="str">
        <x:v>Format</x:v>
      </x:c>
      <x:c r="F1" s="16" t="str">
        <x:v>Resolution/Length</x:v>
      </x:c>
      <x:c r="G1" s="16" t="str">
        <x:v>Alpha</x:v>
      </x:c>
      <x:c r="H1" s="16" t="str">
        <x:v>Animation</x:v>
      </x:c>
      <x:c r="I1" s="16" t="str">
        <x:v>Source</x:v>
      </x:c>
      <x:c r="J1" s="16" t="str">
        <x:v>Unity Path</x:v>
      </x:c>
      <x:c r="K1" s="16" t="str">
        <x:v>Status</x:v>
      </x:c>
      <x:c r="L1" s="16" t="str">
        <x:v>Priority</x:v>
      </x:c>
      <x:c r="M1" s="16" t="str">
        <x:v>Owner</x:v>
      </x:c>
      <x:c r="N1" s="16" t="str">
        <x:v>Notes</x:v>
      </x:c>
      <x:c r="O1" s="16" t="str">
        <x:v>License</x:v>
      </x:c>
    </x:row>
    <x:row r="2">
      <x:c r="A2" s="24" t="str">
        <x:v>DEF001</x:v>
      </x:c>
      <x:c r="B2" s="24" t="str">
        <x:v>Defender</x:v>
      </x:c>
      <x:c r="C2" s="24" t="str">
        <x:v>Macrophage</x:v>
      </x:c>
      <x:c r="D2" s="24" t="str">
        <x:v>Main tank/blocker</x:v>
      </x:c>
      <x:c r="E2" s="24" t="str">
        <x:v>PNG RGBA</x:v>
      </x:c>
      <x:c r="F2" s="24" t="str">
        <x:v>512x512</x:v>
      </x:c>
      <x:c r="G2" s="24" t="str">
        <x:v>Yes</x:v>
      </x:c>
      <x:c r="H2" s="24" t="str">
        <x:v>Procedural</x:v>
      </x:c>
      <x:c r="I2" s="24" t="str">
        <x:v>AI + manual cleanup</x:v>
      </x:c>
      <x:c r="J2" s="24" t="str">
        <x:v>Assets/_Game/Art/Characters/Defenders/DEF_Macrophage.png</x:v>
      </x:c>
      <x:c r="K2" s="24" t="str">
        <x:v>Todo</x:v>
      </x:c>
      <x:c r="L2" s="24" t="str">
        <x:v>P0</x:v>
      </x:c>
      <x:c r="M2" s="24" t="str"/>
      <x:c r="N2" s="24" t="str">
        <x:v>Approved master style</x:v>
      </x:c>
      <x:c r="O2" s="24" t="str">
        <x:v>TBD</x:v>
      </x:c>
    </x:row>
    <x:row r="3">
      <x:c r="A3" s="24" t="str">
        <x:v>DEF002</x:v>
      </x:c>
      <x:c r="B3" s="24" t="str">
        <x:v>Defender</x:v>
      </x:c>
      <x:c r="C3" s="24" t="str">
        <x:v>T-Cell</x:v>
      </x:c>
      <x:c r="D3" s="24" t="str">
        <x:v>Main DPS</x:v>
      </x:c>
      <x:c r="E3" s="24" t="str">
        <x:v>PNG RGBA</x:v>
      </x:c>
      <x:c r="F3" s="24" t="str">
        <x:v>512x512</x:v>
      </x:c>
      <x:c r="G3" s="24" t="str">
        <x:v>Yes</x:v>
      </x:c>
      <x:c r="H3" s="24" t="str">
        <x:v>Procedural</x:v>
      </x:c>
      <x:c r="I3" s="24" t="str">
        <x:v>AI + manual cleanup</x:v>
      </x:c>
      <x:c r="J3" s="24" t="str">
        <x:v>Assets/_Game/Art/Characters/Defenders/DEF_TCell.png</x:v>
      </x:c>
      <x:c r="K3" s="24" t="str">
        <x:v>Todo</x:v>
      </x:c>
      <x:c r="L3" s="24" t="str">
        <x:v>P0</x:v>
      </x:c>
      <x:c r="M3" s="24" t="str"/>
      <x:c r="N3" s="24" t="str">
        <x:v>Cytotoxic visual, not antibody</x:v>
      </x:c>
      <x:c r="O3" s="24" t="str">
        <x:v>TBD</x:v>
      </x:c>
    </x:row>
    <x:row r="4">
      <x:c r="A4" s="24" t="str">
        <x:v>DEF003</x:v>
      </x:c>
      <x:c r="B4" s="24" t="str">
        <x:v>Defender</x:v>
      </x:c>
      <x:c r="C4" s="24" t="str">
        <x:v>B-Cell</x:v>
      </x:c>
      <x:c r="D4" s="24" t="str">
        <x:v>Antibody support</x:v>
      </x:c>
      <x:c r="E4" s="24" t="str">
        <x:v>PNG RGBA</x:v>
      </x:c>
      <x:c r="F4" s="24" t="str">
        <x:v>512x512</x:v>
      </x:c>
      <x:c r="G4" s="24" t="str">
        <x:v>Yes</x:v>
      </x:c>
      <x:c r="H4" s="24" t="str">
        <x:v>Procedural</x:v>
      </x:c>
      <x:c r="I4" s="24" t="str">
        <x:v>AI + manual cleanup</x:v>
      </x:c>
      <x:c r="J4" s="24" t="str">
        <x:v>Assets/_Game/Art/Characters/Defenders/DEF_BCell.png</x:v>
      </x:c>
      <x:c r="K4" s="24" t="str">
        <x:v>Todo</x:v>
      </x:c>
      <x:c r="L4" s="24" t="str">
        <x:v>P1</x:v>
      </x:c>
      <x:c r="M4" s="24" t="str"/>
      <x:c r="N4" s="24" t="str">
        <x:v>Y-shaped antibody motif</x:v>
      </x:c>
      <x:c r="O4" s="24" t="str">
        <x:v>TBD</x:v>
      </x:c>
    </x:row>
    <x:row r="5">
      <x:c r="A5" s="24" t="str">
        <x:v>DEF004</x:v>
      </x:c>
      <x:c r="B5" s="24" t="str">
        <x:v>Defender</x:v>
      </x:c>
      <x:c r="C5" s="24" t="str">
        <x:v>NK Cell</x:v>
      </x:c>
      <x:c r="D5" s="24" t="str">
        <x:v>Burst/anti-mutant</x:v>
      </x:c>
      <x:c r="E5" s="24" t="str">
        <x:v>PNG RGBA</x:v>
      </x:c>
      <x:c r="F5" s="24" t="str">
        <x:v>512x512</x:v>
      </x:c>
      <x:c r="G5" s="24" t="str">
        <x:v>Yes</x:v>
      </x:c>
      <x:c r="H5" s="24" t="str">
        <x:v>Procedural</x:v>
      </x:c>
      <x:c r="I5" s="24" t="str">
        <x:v>AI + manual cleanup</x:v>
      </x:c>
      <x:c r="J5" s="24" t="str">
        <x:v>Assets/_Game/Art/Characters/Defenders/DEF_NKCell.png</x:v>
      </x:c>
      <x:c r="K5" s="24" t="str">
        <x:v>Todo</x:v>
      </x:c>
      <x:c r="L5" s="24" t="str">
        <x:v>P1</x:v>
      </x:c>
      <x:c r="M5" s="24" t="str"/>
      <x:c r="N5" s="24" t="str">
        <x:v>Orange/yellow silhouette</x:v>
      </x:c>
      <x:c r="O5" s="24" t="str">
        <x:v>TBD</x:v>
      </x:c>
    </x:row>
    <x:row r="6">
      <x:c r="A6" s="24" t="str">
        <x:v>DEF005</x:v>
      </x:c>
      <x:c r="B6" s="24" t="str">
        <x:v>Defender</x:v>
      </x:c>
      <x:c r="C6" s="24" t="str">
        <x:v>Platelet</x:v>
      </x:c>
      <x:c r="D6" s="24" t="str">
        <x:v>Heal/cleanse</x:v>
      </x:c>
      <x:c r="E6" s="24" t="str">
        <x:v>PNG RGBA</x:v>
      </x:c>
      <x:c r="F6" s="24" t="str">
        <x:v>512x512</x:v>
      </x:c>
      <x:c r="G6" s="24" t="str">
        <x:v>Yes</x:v>
      </x:c>
      <x:c r="H6" s="24" t="str">
        <x:v>Procedural</x:v>
      </x:c>
      <x:c r="I6" s="24" t="str">
        <x:v>AI + manual cleanup</x:v>
      </x:c>
      <x:c r="J6" s="24" t="str">
        <x:v>Assets/_Game/Art/Characters/Defenders/DEF_Platelet.png</x:v>
      </x:c>
      <x:c r="K6" s="24" t="str">
        <x:v>Todo</x:v>
      </x:c>
      <x:c r="L6" s="24" t="str">
        <x:v>P1</x:v>
      </x:c>
      <x:c r="M6" s="24" t="str"/>
      <x:c r="N6" s="24" t="str">
        <x:v>Repair/mesh motif</x:v>
      </x:c>
      <x:c r="O6" s="24" t="str">
        <x:v>TBD</x:v>
      </x:c>
    </x:row>
    <x:row r="7">
      <x:c r="A7" s="24" t="str">
        <x:v>DEF006</x:v>
      </x:c>
      <x:c r="B7" s="24" t="str">
        <x:v>Defender</x:v>
      </x:c>
      <x:c r="C7" s="24" t="str">
        <x:v>Energy Cell</x:v>
      </x:c>
      <x:c r="D7" s="24" t="str">
        <x:v>ATP economy</x:v>
      </x:c>
      <x:c r="E7" s="24" t="str">
        <x:v>PNG RGBA</x:v>
      </x:c>
      <x:c r="F7" s="24" t="str">
        <x:v>512x512</x:v>
      </x:c>
      <x:c r="G7" s="24" t="str">
        <x:v>Yes</x:v>
      </x:c>
      <x:c r="H7" s="24" t="str">
        <x:v>Procedural</x:v>
      </x:c>
      <x:c r="I7" s="24" t="str">
        <x:v>AI + manual cleanup</x:v>
      </x:c>
      <x:c r="J7" s="24" t="str">
        <x:v>Assets/_Game/Art/Characters/Defenders/DEF_EnergyCell.png</x:v>
      </x:c>
      <x:c r="K7" s="24" t="str">
        <x:v>Todo</x:v>
      </x:c>
      <x:c r="L7" s="24" t="str">
        <x:v>P0</x:v>
      </x:c>
      <x:c r="M7" s="24" t="str"/>
      <x:c r="N7" s="24" t="str">
        <x:v>Gold/lightning motif</x:v>
      </x:c>
      <x:c r="O7" s="24" t="str">
        <x:v>TBD</x:v>
      </x:c>
    </x:row>
    <x:row r="8">
      <x:c r="A8" s="24" t="str">
        <x:v>ENE001</x:v>
      </x:c>
      <x:c r="B8" s="24" t="str">
        <x:v>Enemy</x:v>
      </x:c>
      <x:c r="C8" s="24" t="str">
        <x:v>Basic Virus</x:v>
      </x:c>
      <x:c r="D8" s="24" t="str">
        <x:v>Fast pressure enemy</x:v>
      </x:c>
      <x:c r="E8" s="24" t="str">
        <x:v>PNG RGBA</x:v>
      </x:c>
      <x:c r="F8" s="24" t="str">
        <x:v>512x512</x:v>
      </x:c>
      <x:c r="G8" s="24" t="str">
        <x:v>Yes</x:v>
      </x:c>
      <x:c r="H8" s="24" t="str">
        <x:v>Procedural</x:v>
      </x:c>
      <x:c r="I8" s="24" t="str">
        <x:v>AI + manual cleanup</x:v>
      </x:c>
      <x:c r="J8" s="24" t="str">
        <x:v>Assets/_Game/Art/Characters/Enemies/ENE_Virus.png</x:v>
      </x:c>
      <x:c r="K8" s="24" t="str">
        <x:v>Todo</x:v>
      </x:c>
      <x:c r="L8" s="24" t="str">
        <x:v>P0</x:v>
      </x:c>
      <x:c r="M8" s="24" t="str"/>
      <x:c r="N8" s="24" t="str">
        <x:v>Red spiky silhouette</x:v>
      </x:c>
      <x:c r="O8" s="24" t="str">
        <x:v>TBD</x:v>
      </x:c>
    </x:row>
    <x:row r="9">
      <x:c r="A9" s="24" t="str">
        <x:v>ENE002</x:v>
      </x:c>
      <x:c r="B9" s="24" t="str">
        <x:v>Enemy</x:v>
      </x:c>
      <x:c r="C9" s="24" t="str">
        <x:v>Bacteria</x:v>
      </x:c>
      <x:c r="D9" s="24" t="str">
        <x:v>Tank enemy</x:v>
      </x:c>
      <x:c r="E9" s="24" t="str">
        <x:v>PNG RGBA</x:v>
      </x:c>
      <x:c r="F9" s="24" t="str">
        <x:v>512x512</x:v>
      </x:c>
      <x:c r="G9" s="24" t="str">
        <x:v>Yes</x:v>
      </x:c>
      <x:c r="H9" s="24" t="str">
        <x:v>Procedural</x:v>
      </x:c>
      <x:c r="I9" s="24" t="str">
        <x:v>AI + manual cleanup</x:v>
      </x:c>
      <x:c r="J9" s="24" t="str">
        <x:v>Assets/_Game/Art/Characters/Enemies/ENE_Bacteria.png</x:v>
      </x:c>
      <x:c r="K9" s="24" t="str">
        <x:v>Todo</x:v>
      </x:c>
      <x:c r="L9" s="24" t="str">
        <x:v>P1</x:v>
      </x:c>
      <x:c r="M9" s="24" t="str"/>
      <x:c r="N9" s="24" t="str">
        <x:v>Green rod/blob</x:v>
      </x:c>
      <x:c r="O9" s="24" t="str">
        <x:v>TBD</x:v>
      </x:c>
    </x:row>
    <x:row r="10">
      <x:c r="A10" s="24" t="str">
        <x:v>ENE003</x:v>
      </x:c>
      <x:c r="B10" s="24" t="str">
        <x:v>Enemy</x:v>
      </x:c>
      <x:c r="C10" s="24" t="str">
        <x:v>Mutant Virus</x:v>
      </x:c>
      <x:c r="D10" s="24" t="str">
        <x:v>Elite mutation enemy</x:v>
      </x:c>
      <x:c r="E10" s="24" t="str">
        <x:v>PNG RGBA</x:v>
      </x:c>
      <x:c r="F10" s="24" t="str">
        <x:v>512x512</x:v>
      </x:c>
      <x:c r="G10" s="24" t="str">
        <x:v>Yes</x:v>
      </x:c>
      <x:c r="H10" s="24" t="str">
        <x:v>Procedural</x:v>
      </x:c>
      <x:c r="I10" s="24" t="str">
        <x:v>AI + manual cleanup</x:v>
      </x:c>
      <x:c r="J10" s="24" t="str">
        <x:v>Assets/_Game/Art/Characters/Enemies/ENE_MutantVirus.png</x:v>
      </x:c>
      <x:c r="K10" s="24" t="str">
        <x:v>Todo</x:v>
      </x:c>
      <x:c r="L10" s="24" t="str">
        <x:v>P1</x:v>
      </x:c>
      <x:c r="M10" s="24" t="str"/>
      <x:c r="N10" s="24" t="str">
        <x:v>Purple unstable aura</x:v>
      </x:c>
      <x:c r="O10" s="24" t="str">
        <x:v>TBD</x:v>
      </x:c>
    </x:row>
    <x:row r="11">
      <x:c r="A11" s="24" t="str">
        <x:v>ENE004</x:v>
      </x:c>
      <x:c r="B11" s="24" t="str">
        <x:v>Enemy</x:v>
      </x:c>
      <x:c r="C11" s="24" t="str">
        <x:v>Super Pathogen</x:v>
      </x:c>
      <x:c r="D11" s="24" t="str">
        <x:v>Final boss</x:v>
      </x:c>
      <x:c r="E11" s="24" t="str">
        <x:v>PNG RGBA</x:v>
      </x:c>
      <x:c r="F11" s="24" t="str">
        <x:v>1024x1024</x:v>
      </x:c>
      <x:c r="G11" s="24" t="str">
        <x:v>Yes</x:v>
      </x:c>
      <x:c r="H11" s="24" t="str">
        <x:v>Hybrid/procedural</x:v>
      </x:c>
      <x:c r="I11" s="24" t="str">
        <x:v>AI + manual cleanup</x:v>
      </x:c>
      <x:c r="J11" s="24" t="str">
        <x:v>Assets/_Game/Art/Characters/Enemies/ENE_Boss.png</x:v>
      </x:c>
      <x:c r="K11" s="24" t="str">
        <x:v>Todo</x:v>
      </x:c>
      <x:c r="L11" s="24" t="str">
        <x:v>P1</x:v>
      </x:c>
      <x:c r="M11" s="24" t="str"/>
      <x:c r="N11" s="24" t="str">
        <x:v>Large asymmetric silhouette</x:v>
      </x:c>
      <x:c r="O11" s="24" t="str">
        <x:v>TBD</x:v>
      </x:c>
    </x:row>
    <x:row r="12">
      <x:c r="A12" s="24" t="str">
        <x:v>ENV001</x:v>
      </x:c>
      <x:c r="B12" s="24" t="str">
        <x:v>Environment</x:v>
      </x:c>
      <x:c r="C12" s="24" t="str">
        <x:v>Vessel Straight</x:v>
      </x:c>
      <x:c r="D12" s="24" t="str">
        <x:v>Modular path piece</x:v>
      </x:c>
      <x:c r="E12" s="24" t="str">
        <x:v>PNG RGBA</x:v>
      </x:c>
      <x:c r="F12" s="24" t="str">
        <x:v>512x512</x:v>
      </x:c>
      <x:c r="G12" s="24" t="str">
        <x:v>Yes</x:v>
      </x:c>
      <x:c r="H12" s="24" t="str">
        <x:v>None</x:v>
      </x:c>
      <x:c r="I12" s="24" t="str">
        <x:v>AI + manual cleanup</x:v>
      </x:c>
      <x:c r="J12" s="24" t="str">
        <x:v>Assets/_Game/Art/Environment/ENV_Vessel_Straight.png</x:v>
      </x:c>
      <x:c r="K12" s="24" t="str">
        <x:v>Todo</x:v>
      </x:c>
      <x:c r="L12" s="24" t="str">
        <x:v>P0</x:v>
      </x:c>
      <x:c r="M12" s="24" t="str"/>
      <x:c r="N12" s="24" t="str">
        <x:v>Tileable edges preferred</x:v>
      </x:c>
      <x:c r="O12" s="24" t="str">
        <x:v>TBD</x:v>
      </x:c>
    </x:row>
    <x:row r="13">
      <x:c r="A13" s="24" t="str">
        <x:v>ENV002</x:v>
      </x:c>
      <x:c r="B13" s="24" t="str">
        <x:v>Environment</x:v>
      </x:c>
      <x:c r="C13" s="24" t="str">
        <x:v>Vessel Curve</x:v>
      </x:c>
      <x:c r="D13" s="24" t="str">
        <x:v>Modular path piece</x:v>
      </x:c>
      <x:c r="E13" s="24" t="str">
        <x:v>PNG RGBA</x:v>
      </x:c>
      <x:c r="F13" s="24" t="str">
        <x:v>512x512</x:v>
      </x:c>
      <x:c r="G13" s="24" t="str">
        <x:v>Yes</x:v>
      </x:c>
      <x:c r="H13" s="24" t="str">
        <x:v>None</x:v>
      </x:c>
      <x:c r="I13" s="24" t="str">
        <x:v>AI + manual cleanup</x:v>
      </x:c>
      <x:c r="J13" s="24" t="str">
        <x:v>Assets/_Game/Art/Environment/ENV_Vessel_Curve.png</x:v>
      </x:c>
      <x:c r="K13" s="24" t="str">
        <x:v>Todo</x:v>
      </x:c>
      <x:c r="L13" s="24" t="str">
        <x:v>P0</x:v>
      </x:c>
      <x:c r="M13" s="24" t="str"/>
      <x:c r="N13" s="24" t="str">
        <x:v>Match straight width</x:v>
      </x:c>
      <x:c r="O13" s="24" t="str">
        <x:v>TBD</x:v>
      </x:c>
    </x:row>
    <x:row r="14">
      <x:c r="A14" s="24" t="str">
        <x:v>ENV003</x:v>
      </x:c>
      <x:c r="B14" s="24" t="str">
        <x:v>Environment</x:v>
      </x:c>
      <x:c r="C14" s="24" t="str">
        <x:v>Vessel Junction 3-way</x:v>
      </x:c>
      <x:c r="D14" s="24" t="str">
        <x:v>Branching path piece</x:v>
      </x:c>
      <x:c r="E14" s="24" t="str">
        <x:v>PNG RGBA</x:v>
      </x:c>
      <x:c r="F14" s="24" t="str">
        <x:v>512x512</x:v>
      </x:c>
      <x:c r="G14" s="24" t="str">
        <x:v>Yes</x:v>
      </x:c>
      <x:c r="H14" s="24" t="str">
        <x:v>None</x:v>
      </x:c>
      <x:c r="I14" s="24" t="str">
        <x:v>AI + manual cleanup</x:v>
      </x:c>
      <x:c r="J14" s="24" t="str">
        <x:v>Assets/_Game/Art/Environment/ENV_Vessel_Junction3.png</x:v>
      </x:c>
      <x:c r="K14" s="24" t="str">
        <x:v>Todo</x:v>
      </x:c>
      <x:c r="L14" s="24" t="str">
        <x:v>P0</x:v>
      </x:c>
      <x:c r="M14" s="24" t="str"/>
      <x:c r="N14" s="24" t="str">
        <x:v>Readable branch angles</x:v>
      </x:c>
      <x:c r="O14" s="24" t="str">
        <x:v>TBD</x:v>
      </x:c>
    </x:row>
    <x:row r="15">
      <x:c r="A15" s="24" t="str">
        <x:v>ENV004</x:v>
      </x:c>
      <x:c r="B15" s="24" t="str">
        <x:v>Environment</x:v>
      </x:c>
      <x:c r="C15" s="24" t="str">
        <x:v>Defense Node Base</x:v>
      </x:c>
      <x:c r="D15" s="24" t="str">
        <x:v>Placement node visual</x:v>
      </x:c>
      <x:c r="E15" s="24" t="str">
        <x:v>PNG RGBA</x:v>
      </x:c>
      <x:c r="F15" s="24" t="str">
        <x:v>256x256</x:v>
      </x:c>
      <x:c r="G15" s="24" t="str">
        <x:v>Yes</x:v>
      </x:c>
      <x:c r="H15" s="24" t="str">
        <x:v>Procedural glow</x:v>
      </x:c>
      <x:c r="I15" s="24" t="str">
        <x:v>AI + manual cleanup</x:v>
      </x:c>
      <x:c r="J15" s="24" t="str">
        <x:v>Assets/_Game/Art/Environment/ENV_DefenseNode.png</x:v>
      </x:c>
      <x:c r="K15" s="24" t="str">
        <x:v>Todo</x:v>
      </x:c>
      <x:c r="L15" s="24" t="str">
        <x:v>P0</x:v>
      </x:c>
      <x:c r="M15" s="24" t="str"/>
      <x:c r="N15" s="24" t="str">
        <x:v>Neutral base state</x:v>
      </x:c>
      <x:c r="O15" s="24" t="str">
        <x:v>TBD</x:v>
      </x:c>
    </x:row>
    <x:row r="16">
      <x:c r="A16" s="24" t="str">
        <x:v>ENV005</x:v>
      </x:c>
      <x:c r="B16" s="24" t="str">
        <x:v>Environment</x:v>
      </x:c>
      <x:c r="C16" s="24" t="str">
        <x:v>Infection Decal</x:v>
      </x:c>
      <x:c r="D16" s="24" t="str">
        <x:v>Infected node overlay</x:v>
      </x:c>
      <x:c r="E16" s="24" t="str">
        <x:v>PNG RGBA</x:v>
      </x:c>
      <x:c r="F16" s="24" t="str">
        <x:v>256x256</x:v>
      </x:c>
      <x:c r="G16" s="24" t="str">
        <x:v>Yes</x:v>
      </x:c>
      <x:c r="H16" s="24" t="str">
        <x:v>Pulse/VFX</x:v>
      </x:c>
      <x:c r="I16" s="24" t="str">
        <x:v>AI + manual cleanup</x:v>
      </x:c>
      <x:c r="J16" s="24" t="str">
        <x:v>Assets/_Game/Art/Environment/ENV_InfectionDecal.png</x:v>
      </x:c>
      <x:c r="K16" s="24" t="str">
        <x:v>Todo</x:v>
      </x:c>
      <x:c r="L16" s="24" t="str">
        <x:v>P1</x:v>
      </x:c>
      <x:c r="M16" s="24" t="str"/>
      <x:c r="N16" s="24" t="str">
        <x:v>Purple/magenta</x:v>
      </x:c>
      <x:c r="O16" s="24" t="str">
        <x:v>TBD</x:v>
      </x:c>
    </x:row>
    <x:row r="17">
      <x:c r="A17" s="24" t="str">
        <x:v>ENV006</x:v>
      </x:c>
      <x:c r="B17" s="24" t="str">
        <x:v>Environment</x:v>
      </x:c>
      <x:c r="C17" s="24" t="str">
        <x:v>Lung Landmark</x:v>
      </x:c>
      <x:c r="D17" s="24" t="str">
        <x:v>Map 1 organ landmark</x:v>
      </x:c>
      <x:c r="E17" s="24" t="str">
        <x:v>PNG RGBA</x:v>
      </x:c>
      <x:c r="F17" s="24" t="str">
        <x:v>1024x1024</x:v>
      </x:c>
      <x:c r="G17" s="24" t="str">
        <x:v>Yes</x:v>
      </x:c>
      <x:c r="H17" s="24" t="str">
        <x:v>None</x:v>
      </x:c>
      <x:c r="I17" s="24" t="str">
        <x:v>AI + manual cleanup</x:v>
      </x:c>
      <x:c r="J17" s="24" t="str">
        <x:v>Assets/_Game/Art/Environment/ENV_Lung.png</x:v>
      </x:c>
      <x:c r="K17" s="24" t="str">
        <x:v>Todo</x:v>
      </x:c>
      <x:c r="L17" s="24" t="str">
        <x:v>P1</x:v>
      </x:c>
      <x:c r="M17" s="24" t="str"/>
      <x:c r="N17" s="24" t="str">
        <x:v>Pink/red</x:v>
      </x:c>
      <x:c r="O17" s="24" t="str">
        <x:v>TBD</x:v>
      </x:c>
    </x:row>
    <x:row r="18">
      <x:c r="A18" s="24" t="str">
        <x:v>ENV007</x:v>
      </x:c>
      <x:c r="B18" s="24" t="str">
        <x:v>Environment</x:v>
      </x:c>
      <x:c r="C18" s="24" t="str">
        <x:v>Brain Landmark</x:v>
      </x:c>
      <x:c r="D18" s="24" t="str">
        <x:v>Map 2 organ landmark</x:v>
      </x:c>
      <x:c r="E18" s="24" t="str">
        <x:v>PNG RGBA</x:v>
      </x:c>
      <x:c r="F18" s="24" t="str">
        <x:v>1024x1024</x:v>
      </x:c>
      <x:c r="G18" s="24" t="str">
        <x:v>Yes</x:v>
      </x:c>
      <x:c r="H18" s="24" t="str">
        <x:v>None</x:v>
      </x:c>
      <x:c r="I18" s="24" t="str">
        <x:v>AI + manual cleanup</x:v>
      </x:c>
      <x:c r="J18" s="24" t="str">
        <x:v>Assets/_Game/Art/Environment/ENV_Brain.png</x:v>
      </x:c>
      <x:c r="K18" s="24" t="str">
        <x:v>Todo</x:v>
      </x:c>
      <x:c r="L18" s="24" t="str">
        <x:v>P1</x:v>
      </x:c>
      <x:c r="M18" s="24" t="str"/>
      <x:c r="N18" s="24" t="str">
        <x:v>Purple/blue</x:v>
      </x:c>
      <x:c r="O18" s="24" t="str">
        <x:v>TBD</x:v>
      </x:c>
    </x:row>
    <x:row r="19">
      <x:c r="A19" s="24" t="str">
        <x:v>ENV008</x:v>
      </x:c>
      <x:c r="B19" s="24" t="str">
        <x:v>Environment</x:v>
      </x:c>
      <x:c r="C19" s="24" t="str">
        <x:v>Stomach Landmark</x:v>
      </x:c>
      <x:c r="D19" s="24" t="str">
        <x:v>Map 3 organ landmark</x:v>
      </x:c>
      <x:c r="E19" s="24" t="str">
        <x:v>PNG RGBA</x:v>
      </x:c>
      <x:c r="F19" s="24" t="str">
        <x:v>1024x1024</x:v>
      </x:c>
      <x:c r="G19" s="24" t="str">
        <x:v>Yes</x:v>
      </x:c>
      <x:c r="H19" s="24" t="str">
        <x:v>None</x:v>
      </x:c>
      <x:c r="I19" s="24" t="str">
        <x:v>AI + manual cleanup</x:v>
      </x:c>
      <x:c r="J19" s="24" t="str">
        <x:v>Assets/_Game/Art/Environment/ENV_Stomach.png</x:v>
      </x:c>
      <x:c r="K19" s="24" t="str">
        <x:v>Todo</x:v>
      </x:c>
      <x:c r="L19" s="24" t="str">
        <x:v>P1</x:v>
      </x:c>
      <x:c r="M19" s="24" t="str"/>
      <x:c r="N19" s="24" t="str">
        <x:v>Orange/red</x:v>
      </x:c>
      <x:c r="O19" s="24" t="str">
        <x:v>TBD</x:v>
      </x:c>
    </x:row>
    <x:row r="20">
      <x:c r="A20" s="24" t="str">
        <x:v>ENV009</x:v>
      </x:c>
      <x:c r="B20" s="24" t="str">
        <x:v>Environment</x:v>
      </x:c>
      <x:c r="C20" s="24" t="str">
        <x:v>Blood Cell Decoration</x:v>
      </x:c>
      <x:c r="D20" s="24" t="str">
        <x:v>Ambient decoration</x:v>
      </x:c>
      <x:c r="E20" s="24" t="str">
        <x:v>PNG RGBA</x:v>
      </x:c>
      <x:c r="F20" s="24" t="str">
        <x:v>256x256</x:v>
      </x:c>
      <x:c r="G20" s="24" t="str">
        <x:v>Yes</x:v>
      </x:c>
      <x:c r="H20" s="24" t="str">
        <x:v>Drift</x:v>
      </x:c>
      <x:c r="I20" s="24" t="str">
        <x:v>AI + manual cleanup</x:v>
      </x:c>
      <x:c r="J20" s="24" t="str">
        <x:v>Assets/_Game/Art/Environment/ENV_BloodCell.png</x:v>
      </x:c>
      <x:c r="K20" s="24" t="str">
        <x:v>Todo</x:v>
      </x:c>
      <x:c r="L20" s="24" t="str">
        <x:v>P2</x:v>
      </x:c>
      <x:c r="M20" s="24" t="str"/>
      <x:c r="N20" s="24" t="str">
        <x:v>Low contrast</x:v>
      </x:c>
      <x:c r="O20" s="24" t="str">
        <x:v>TBD</x:v>
      </x:c>
    </x:row>
    <x:row r="21">
      <x:c r="A21" s="24" t="str">
        <x:v>VFX001</x:v>
      </x:c>
      <x:c r="B21" s="24" t="str">
        <x:v>VFX</x:v>
      </x:c>
      <x:c r="C21" s="24" t="str">
        <x:v>T-Cell Pulse</x:v>
      </x:c>
      <x:c r="D21" s="24" t="str">
        <x:v>T-Cell attack projectile</x:v>
      </x:c>
      <x:c r="E21" s="24" t="str">
        <x:v>PNG RGBA</x:v>
      </x:c>
      <x:c r="F21" s="24" t="str">
        <x:v>256x256</x:v>
      </x:c>
      <x:c r="G21" s="24" t="str">
        <x:v>Yes</x:v>
      </x:c>
      <x:c r="H21" s="24" t="str">
        <x:v>Particle</x:v>
      </x:c>
      <x:c r="I21" s="24" t="str">
        <x:v>AI texture</x:v>
      </x:c>
      <x:c r="J21" s="24" t="str">
        <x:v>Assets/_Game/Art/VFX/VFX_TCellPulse.png</x:v>
      </x:c>
      <x:c r="K21" s="24" t="str">
        <x:v>Todo</x:v>
      </x:c>
      <x:c r="L21" s="24" t="str">
        <x:v>P0</x:v>
      </x:c>
      <x:c r="M21" s="24" t="str"/>
      <x:c r="N21" s="24" t="str">
        <x:v>Cyan streak</x:v>
      </x:c>
      <x:c r="O21" s="24" t="str">
        <x:v>TBD</x:v>
      </x:c>
    </x:row>
    <x:row r="22">
      <x:c r="A22" s="24" t="str">
        <x:v>VFX002</x:v>
      </x:c>
      <x:c r="B22" s="24" t="str">
        <x:v>VFX</x:v>
      </x:c>
      <x:c r="C22" s="24" t="str">
        <x:v>Antibody</x:v>
      </x:c>
      <x:c r="D22" s="24" t="str">
        <x:v>B-Cell projectile</x:v>
      </x:c>
      <x:c r="E22" s="24" t="str">
        <x:v>PNG RGBA</x:v>
      </x:c>
      <x:c r="F22" s="24" t="str">
        <x:v>256x256</x:v>
      </x:c>
      <x:c r="G22" s="24" t="str">
        <x:v>Yes</x:v>
      </x:c>
      <x:c r="H22" s="24" t="str">
        <x:v>Particle</x:v>
      </x:c>
      <x:c r="I22" s="24" t="str">
        <x:v>AI texture</x:v>
      </x:c>
      <x:c r="J22" s="24" t="str">
        <x:v>Assets/_Game/Art/VFX/VFX_Antibody.png</x:v>
      </x:c>
      <x:c r="K22" s="24" t="str">
        <x:v>Todo</x:v>
      </x:c>
      <x:c r="L22" s="24" t="str">
        <x:v>P1</x:v>
      </x:c>
      <x:c r="M22" s="24" t="str"/>
      <x:c r="N22" s="24" t="str">
        <x:v>Y-shaped</x:v>
      </x:c>
      <x:c r="O22" s="24" t="str">
        <x:v>TBD</x:v>
      </x:c>
    </x:row>
    <x:row r="23">
      <x:c r="A23" s="24" t="str">
        <x:v>VFX003</x:v>
      </x:c>
      <x:c r="B23" s="24" t="str">
        <x:v>VFX</x:v>
      </x:c>
      <x:c r="C23" s="24" t="str">
        <x:v>Hit Burst</x:v>
      </x:c>
      <x:c r="D23" s="24" t="str">
        <x:v>Generic hit</x:v>
      </x:c>
      <x:c r="E23" s="24" t="str">
        <x:v>PNG RGBA</x:v>
      </x:c>
      <x:c r="F23" s="24" t="str">
        <x:v>256x256</x:v>
      </x:c>
      <x:c r="G23" s="24" t="str">
        <x:v>Yes</x:v>
      </x:c>
      <x:c r="H23" s="24" t="str">
        <x:v>Particle</x:v>
      </x:c>
      <x:c r="I23" s="24" t="str">
        <x:v>AI texture</x:v>
      </x:c>
      <x:c r="J23" s="24" t="str">
        <x:v>Assets/_Game/Art/VFX/VFX_Hit.png</x:v>
      </x:c>
      <x:c r="K23" s="24" t="str">
        <x:v>Todo</x:v>
      </x:c>
      <x:c r="L23" s="24" t="str">
        <x:v>P0</x:v>
      </x:c>
      <x:c r="M23" s="24" t="str"/>
      <x:c r="N23" s="24" t="str">
        <x:v>Short bright burst</x:v>
      </x:c>
      <x:c r="O23" s="24" t="str">
        <x:v>TBD</x:v>
      </x:c>
    </x:row>
    <x:row r="24">
      <x:c r="A24" s="24" t="str">
        <x:v>VFX004</x:v>
      </x:c>
      <x:c r="B24" s="24" t="str">
        <x:v>VFX</x:v>
      </x:c>
      <x:c r="C24" s="24" t="str">
        <x:v>Heal Sparkle</x:v>
      </x:c>
      <x:c r="D24" s="24" t="str">
        <x:v>Platelet heal</x:v>
      </x:c>
      <x:c r="E24" s="24" t="str">
        <x:v>PNG RGBA</x:v>
      </x:c>
      <x:c r="F24" s="24" t="str">
        <x:v>256x256</x:v>
      </x:c>
      <x:c r="G24" s="24" t="str">
        <x:v>Yes</x:v>
      </x:c>
      <x:c r="H24" s="24" t="str">
        <x:v>Particle</x:v>
      </x:c>
      <x:c r="I24" s="24" t="str">
        <x:v>AI texture</x:v>
      </x:c>
      <x:c r="J24" s="24" t="str">
        <x:v>Assets/_Game/Art/VFX/VFX_Heal.png</x:v>
      </x:c>
      <x:c r="K24" s="24" t="str">
        <x:v>Todo</x:v>
      </x:c>
      <x:c r="L24" s="24" t="str">
        <x:v>P1</x:v>
      </x:c>
      <x:c r="M24" s="24" t="str"/>
      <x:c r="N24" s="24" t="str">
        <x:v>Coral/white/green</x:v>
      </x:c>
      <x:c r="O24" s="24" t="str">
        <x:v>TBD</x:v>
      </x:c>
    </x:row>
    <x:row r="25">
      <x:c r="A25" s="24" t="str">
        <x:v>VFX005</x:v>
      </x:c>
      <x:c r="B25" s="24" t="str">
        <x:v>VFX</x:v>
      </x:c>
      <x:c r="C25" s="24" t="str">
        <x:v>Infection Cloud</x:v>
      </x:c>
      <x:c r="D25" s="24" t="str">
        <x:v>Infection feedback</x:v>
      </x:c>
      <x:c r="E25" s="24" t="str">
        <x:v>PNG RGBA</x:v>
      </x:c>
      <x:c r="F25" s="24" t="str">
        <x:v>256x256</x:v>
      </x:c>
      <x:c r="G25" s="24" t="str">
        <x:v>Yes</x:v>
      </x:c>
      <x:c r="H25" s="24" t="str">
        <x:v>Particle</x:v>
      </x:c>
      <x:c r="I25" s="24" t="str">
        <x:v>AI texture</x:v>
      </x:c>
      <x:c r="J25" s="24" t="str">
        <x:v>Assets/_Game/Art/VFX/VFX_Infection.png</x:v>
      </x:c>
      <x:c r="K25" s="24" t="str">
        <x:v>Todo</x:v>
      </x:c>
      <x:c r="L25" s="24" t="str">
        <x:v>P1</x:v>
      </x:c>
      <x:c r="M25" s="24" t="str"/>
      <x:c r="N25" s="24" t="str">
        <x:v>Purple pulse</x:v>
      </x:c>
      <x:c r="O25" s="24" t="str">
        <x:v>TBD</x:v>
      </x:c>
    </x:row>
    <x:row r="26">
      <x:c r="A26" s="24" t="str">
        <x:v>VFX006</x:v>
      </x:c>
      <x:c r="B26" s="24" t="str">
        <x:v>VFX</x:v>
      </x:c>
      <x:c r="C26" s="24" t="str">
        <x:v>Mutation Burst</x:v>
      </x:c>
      <x:c r="D26" s="24" t="str">
        <x:v>Mutation trigger</x:v>
      </x:c>
      <x:c r="E26" s="24" t="str">
        <x:v>PNG RGBA</x:v>
      </x:c>
      <x:c r="F26" s="24" t="str">
        <x:v>256x256</x:v>
      </x:c>
      <x:c r="G26" s="24" t="str">
        <x:v>Yes</x:v>
      </x:c>
      <x:c r="H26" s="24" t="str">
        <x:v>Particle</x:v>
      </x:c>
      <x:c r="I26" s="24" t="str">
        <x:v>AI texture</x:v>
      </x:c>
      <x:c r="J26" s="24" t="str">
        <x:v>Assets/_Game/Art/VFX/VFX_Mutation.png</x:v>
      </x:c>
      <x:c r="K26" s="24" t="str">
        <x:v>Todo</x:v>
      </x:c>
      <x:c r="L26" s="24" t="str">
        <x:v>P1</x:v>
      </x:c>
      <x:c r="M26" s="24" t="str"/>
      <x:c r="N26" s="24" t="str">
        <x:v>Purple DNA/glitch</x:v>
      </x:c>
      <x:c r="O26" s="24" t="str">
        <x:v>TBD</x:v>
      </x:c>
    </x:row>
    <x:row r="27">
      <x:c r="A27" s="24" t="str">
        <x:v>VFX007</x:v>
      </x:c>
      <x:c r="B27" s="24" t="str">
        <x:v>VFX</x:v>
      </x:c>
      <x:c r="C27" s="24" t="str">
        <x:v>ATP Orb</x:v>
      </x:c>
      <x:c r="D27" s="24" t="str">
        <x:v>Economy feedback</x:v>
      </x:c>
      <x:c r="E27" s="24" t="str">
        <x:v>PNG RGBA</x:v>
      </x:c>
      <x:c r="F27" s="24" t="str">
        <x:v>256x256</x:v>
      </x:c>
      <x:c r="G27" s="24" t="str">
        <x:v>Yes</x:v>
      </x:c>
      <x:c r="H27" s="24" t="str">
        <x:v>Particle</x:v>
      </x:c>
      <x:c r="I27" s="24" t="str">
        <x:v>AI texture</x:v>
      </x:c>
      <x:c r="J27" s="24" t="str">
        <x:v>Assets/_Game/Art/VFX/VFX_ATP.png</x:v>
      </x:c>
      <x:c r="K27" s="24" t="str">
        <x:v>Todo</x:v>
      </x:c>
      <x:c r="L27" s="24" t="str">
        <x:v>P0</x:v>
      </x:c>
      <x:c r="M27" s="24" t="str"/>
      <x:c r="N27" s="24" t="str">
        <x:v>Gold/yellow</x:v>
      </x:c>
      <x:c r="O27" s="24" t="str">
        <x:v>TBD</x:v>
      </x:c>
    </x:row>
    <x:row r="28">
      <x:c r="A28" s="24" t="str">
        <x:v>VFX008</x:v>
      </x:c>
      <x:c r="B28" s="24" t="str">
        <x:v>VFX</x:v>
      </x:c>
      <x:c r="C28" s="24" t="str">
        <x:v>Fever Overlay</x:v>
      </x:c>
      <x:c r="D28" s="24" t="str">
        <x:v>Fever mode screen effect</x:v>
      </x:c>
      <x:c r="E28" s="24" t="str">
        <x:v>PNG RGBA</x:v>
      </x:c>
      <x:c r="F28" s="24" t="str">
        <x:v>1920x1080</x:v>
      </x:c>
      <x:c r="G28" s="24" t="str">
        <x:v>Yes</x:v>
      </x:c>
      <x:c r="H28" s="24" t="str">
        <x:v>Pulse</x:v>
      </x:c>
      <x:c r="I28" s="24" t="str">
        <x:v>AI/manual</x:v>
      </x:c>
      <x:c r="J28" s="24" t="str">
        <x:v>Assets/_Game/Art/VFX/VFX_FeverOverlay.png</x:v>
      </x:c>
      <x:c r="K28" s="24" t="str">
        <x:v>Todo</x:v>
      </x:c>
      <x:c r="L28" s="24" t="str">
        <x:v>P1</x:v>
      </x:c>
      <x:c r="M28" s="24" t="str"/>
      <x:c r="N28" s="24" t="str">
        <x:v>Very subtle</x:v>
      </x:c>
      <x:c r="O28" s="24" t="str">
        <x:v>TBD</x:v>
      </x:c>
    </x:row>
    <x:row r="29">
      <x:c r="A29" s="24" t="str">
        <x:v>UI001</x:v>
      </x:c>
      <x:c r="B29" s="24" t="str">
        <x:v>UI</x:v>
      </x:c>
      <x:c r="C29" s="24" t="str">
        <x:v>Macrophage Icon</x:v>
      </x:c>
      <x:c r="D29" s="24" t="str">
        <x:v>Defender card icon</x:v>
      </x:c>
      <x:c r="E29" s="24" t="str">
        <x:v>PNG RGBA</x:v>
      </x:c>
      <x:c r="F29" s="24" t="str">
        <x:v>256x256</x:v>
      </x:c>
      <x:c r="G29" s="24" t="str">
        <x:v>Yes</x:v>
      </x:c>
      <x:c r="H29" s="24" t="str">
        <x:v>None</x:v>
      </x:c>
      <x:c r="I29" s="24" t="str">
        <x:v>Derived from final art</x:v>
      </x:c>
      <x:c r="J29" s="24" t="str">
        <x:v>Assets/_Game/Art/UI/UI_Icon_Macrophage.png</x:v>
      </x:c>
      <x:c r="K29" s="24" t="str">
        <x:v>Todo</x:v>
      </x:c>
      <x:c r="L29" s="24" t="str">
        <x:v>P0</x:v>
      </x:c>
      <x:c r="M29" s="24" t="str"/>
      <x:c r="N29" s="24" t="str"/>
      <x:c r="O29" s="24" t="str">
        <x:v>TBD</x:v>
      </x:c>
    </x:row>
    <x:row r="30">
      <x:c r="A30" s="24" t="str">
        <x:v>UI002</x:v>
      </x:c>
      <x:c r="B30" s="24" t="str">
        <x:v>UI</x:v>
      </x:c>
      <x:c r="C30" s="24" t="str">
        <x:v>T-Cell Icon</x:v>
      </x:c>
      <x:c r="D30" s="24" t="str">
        <x:v>Defender card icon</x:v>
      </x:c>
      <x:c r="E30" s="24" t="str">
        <x:v>PNG RGBA</x:v>
      </x:c>
      <x:c r="F30" s="24" t="str">
        <x:v>256x256</x:v>
      </x:c>
      <x:c r="G30" s="24" t="str">
        <x:v>Yes</x:v>
      </x:c>
      <x:c r="H30" s="24" t="str">
        <x:v>None</x:v>
      </x:c>
      <x:c r="I30" s="24" t="str">
        <x:v>Derived from final art</x:v>
      </x:c>
      <x:c r="J30" s="24" t="str">
        <x:v>Assets/_Game/Art/UI/UI_Icon_TCell.png</x:v>
      </x:c>
      <x:c r="K30" s="24" t="str">
        <x:v>Todo</x:v>
      </x:c>
      <x:c r="L30" s="24" t="str">
        <x:v>P0</x:v>
      </x:c>
      <x:c r="M30" s="24" t="str"/>
      <x:c r="N30" s="24" t="str"/>
      <x:c r="O30" s="24" t="str">
        <x:v>TBD</x:v>
      </x:c>
    </x:row>
    <x:row r="31">
      <x:c r="A31" s="24" t="str">
        <x:v>UI003</x:v>
      </x:c>
      <x:c r="B31" s="24" t="str">
        <x:v>UI</x:v>
      </x:c>
      <x:c r="C31" s="24" t="str">
        <x:v>B-Cell Icon</x:v>
      </x:c>
      <x:c r="D31" s="24" t="str">
        <x:v>Defender card icon</x:v>
      </x:c>
      <x:c r="E31" s="24" t="str">
        <x:v>PNG RGBA</x:v>
      </x:c>
      <x:c r="F31" s="24" t="str">
        <x:v>256x256</x:v>
      </x:c>
      <x:c r="G31" s="24" t="str">
        <x:v>Yes</x:v>
      </x:c>
      <x:c r="H31" s="24" t="str">
        <x:v>None</x:v>
      </x:c>
      <x:c r="I31" s="24" t="str">
        <x:v>Derived from final art</x:v>
      </x:c>
      <x:c r="J31" s="24" t="str">
        <x:v>Assets/_Game/Art/UI/UI_Icon_BCell.png</x:v>
      </x:c>
      <x:c r="K31" s="24" t="str">
        <x:v>Todo</x:v>
      </x:c>
      <x:c r="L31" s="24" t="str">
        <x:v>P1</x:v>
      </x:c>
      <x:c r="M31" s="24" t="str"/>
      <x:c r="N31" s="24" t="str"/>
      <x:c r="O31" s="24" t="str">
        <x:v>TBD</x:v>
      </x:c>
    </x:row>
    <x:row r="32">
      <x:c r="A32" s="24" t="str">
        <x:v>UI004</x:v>
      </x:c>
      <x:c r="B32" s="24" t="str">
        <x:v>UI</x:v>
      </x:c>
      <x:c r="C32" s="24" t="str">
        <x:v>NK Cell Icon</x:v>
      </x:c>
      <x:c r="D32" s="24" t="str">
        <x:v>Defender card icon</x:v>
      </x:c>
      <x:c r="E32" s="24" t="str">
        <x:v>PNG RGBA</x:v>
      </x:c>
      <x:c r="F32" s="24" t="str">
        <x:v>256x256</x:v>
      </x:c>
      <x:c r="G32" s="24" t="str">
        <x:v>Yes</x:v>
      </x:c>
      <x:c r="H32" s="24" t="str">
        <x:v>None</x:v>
      </x:c>
      <x:c r="I32" s="24" t="str">
        <x:v>Derived from final art</x:v>
      </x:c>
      <x:c r="J32" s="24" t="str">
        <x:v>Assets/_Game/Art/UI/UI_Icon_NKCell.png</x:v>
      </x:c>
      <x:c r="K32" s="24" t="str">
        <x:v>Todo</x:v>
      </x:c>
      <x:c r="L32" s="24" t="str">
        <x:v>P1</x:v>
      </x:c>
      <x:c r="M32" s="24" t="str"/>
      <x:c r="N32" s="24" t="str"/>
      <x:c r="O32" s="24" t="str">
        <x:v>TBD</x:v>
      </x:c>
    </x:row>
    <x:row r="33">
      <x:c r="A33" s="24" t="str">
        <x:v>UI005</x:v>
      </x:c>
      <x:c r="B33" s="24" t="str">
        <x:v>UI</x:v>
      </x:c>
      <x:c r="C33" s="24" t="str">
        <x:v>Platelet Icon</x:v>
      </x:c>
      <x:c r="D33" s="24" t="str">
        <x:v>Defender card icon</x:v>
      </x:c>
      <x:c r="E33" s="24" t="str">
        <x:v>PNG RGBA</x:v>
      </x:c>
      <x:c r="F33" s="24" t="str">
        <x:v>256x256</x:v>
      </x:c>
      <x:c r="G33" s="24" t="str">
        <x:v>Yes</x:v>
      </x:c>
      <x:c r="H33" s="24" t="str">
        <x:v>None</x:v>
      </x:c>
      <x:c r="I33" s="24" t="str">
        <x:v>Derived from final art</x:v>
      </x:c>
      <x:c r="J33" s="24" t="str">
        <x:v>Assets/_Game/Art/UI/UI_Icon_Platelet.png</x:v>
      </x:c>
      <x:c r="K33" s="24" t="str">
        <x:v>Todo</x:v>
      </x:c>
      <x:c r="L33" s="24" t="str">
        <x:v>P1</x:v>
      </x:c>
      <x:c r="M33" s="24" t="str"/>
      <x:c r="N33" s="24" t="str"/>
      <x:c r="O33" s="24" t="str">
        <x:v>TBD</x:v>
      </x:c>
    </x:row>
    <x:row r="34">
      <x:c r="A34" s="24" t="str">
        <x:v>UI006</x:v>
      </x:c>
      <x:c r="B34" s="24" t="str">
        <x:v>UI</x:v>
      </x:c>
      <x:c r="C34" s="24" t="str">
        <x:v>Energy Cell Icon</x:v>
      </x:c>
      <x:c r="D34" s="24" t="str">
        <x:v>Defender card icon</x:v>
      </x:c>
      <x:c r="E34" s="24" t="str">
        <x:v>PNG RGBA</x:v>
      </x:c>
      <x:c r="F34" s="24" t="str">
        <x:v>256x256</x:v>
      </x:c>
      <x:c r="G34" s="24" t="str">
        <x:v>Yes</x:v>
      </x:c>
      <x:c r="H34" s="24" t="str">
        <x:v>None</x:v>
      </x:c>
      <x:c r="I34" s="24" t="str">
        <x:v>Derived from final art</x:v>
      </x:c>
      <x:c r="J34" s="24" t="str">
        <x:v>Assets/_Game/Art/UI/UI_Icon_EnergyCell.png</x:v>
      </x:c>
      <x:c r="K34" s="24" t="str">
        <x:v>Todo</x:v>
      </x:c>
      <x:c r="L34" s="24" t="str">
        <x:v>P0</x:v>
      </x:c>
      <x:c r="M34" s="24" t="str"/>
      <x:c r="N34" s="24" t="str"/>
      <x:c r="O34" s="24" t="str">
        <x:v>TBD</x:v>
      </x:c>
    </x:row>
    <x:row r="35">
      <x:c r="A35" s="24" t="str">
        <x:v>UI007</x:v>
      </x:c>
      <x:c r="B35" s="24" t="str">
        <x:v>UI</x:v>
      </x:c>
      <x:c r="C35" s="24" t="str">
        <x:v>ATP Icon</x:v>
      </x:c>
      <x:c r="D35" s="24" t="str">
        <x:v>HUD icon</x:v>
      </x:c>
      <x:c r="E35" s="24" t="str">
        <x:v>PNG RGBA</x:v>
      </x:c>
      <x:c r="F35" s="24" t="str">
        <x:v>128x128</x:v>
      </x:c>
      <x:c r="G35" s="24" t="str">
        <x:v>Yes</x:v>
      </x:c>
      <x:c r="H35" s="24" t="str">
        <x:v>None</x:v>
      </x:c>
      <x:c r="I35" s="24" t="str">
        <x:v>AI/manual</x:v>
      </x:c>
      <x:c r="J35" s="24" t="str">
        <x:v>Assets/_Game/Art/UI/UI_ATP.png</x:v>
      </x:c>
      <x:c r="K35" s="24" t="str">
        <x:v>Todo</x:v>
      </x:c>
      <x:c r="L35" s="24" t="str">
        <x:v>P0</x:v>
      </x:c>
      <x:c r="M35" s="24" t="str"/>
      <x:c r="N35" s="24" t="str"/>
      <x:c r="O35" s="24" t="str">
        <x:v>TBD</x:v>
      </x:c>
    </x:row>
    <x:row r="36">
      <x:c r="A36" s="24" t="str">
        <x:v>UI008</x:v>
      </x:c>
      <x:c r="B36" s="24" t="str">
        <x:v>UI</x:v>
      </x:c>
      <x:c r="C36" s="24" t="str">
        <x:v>Vitality Icon Set</x:v>
      </x:c>
      <x:c r="D36" s="24" t="str">
        <x:v>Map vitality icons</x:v>
      </x:c>
      <x:c r="E36" s="24" t="str">
        <x:v>PNG RGBA</x:v>
      </x:c>
      <x:c r="F36" s="24" t="str">
        <x:v>256x256</x:v>
      </x:c>
      <x:c r="G36" s="24" t="str">
        <x:v>Yes</x:v>
      </x:c>
      <x:c r="H36" s="24" t="str">
        <x:v>None</x:v>
      </x:c>
      <x:c r="I36" s="24" t="str">
        <x:v>AI/manual</x:v>
      </x:c>
      <x:c r="J36" s="24" t="str">
        <x:v>Assets/_Game/Art/UI/UI_Vitality_Set.png</x:v>
      </x:c>
      <x:c r="K36" s="24" t="str">
        <x:v>Todo</x:v>
      </x:c>
      <x:c r="L36" s="24" t="str">
        <x:v>P1</x:v>
      </x:c>
      <x:c r="M36" s="24" t="str"/>
      <x:c r="N36" s="24" t="str">
        <x:v>Lung/brain/stomach icons</x:v>
      </x:c>
      <x:c r="O36" s="24" t="str">
        <x:v>TBD</x:v>
      </x:c>
    </x:row>
    <x:row r="37">
      <x:c r="A37" s="24" t="str">
        <x:v>UI009</x:v>
      </x:c>
      <x:c r="B37" s="24" t="str">
        <x:v>UI</x:v>
      </x:c>
      <x:c r="C37" s="24" t="str">
        <x:v>Fever Icon</x:v>
      </x:c>
      <x:c r="D37" s="24" t="str">
        <x:v>HUD Fever Mode</x:v>
      </x:c>
      <x:c r="E37" s="24" t="str">
        <x:v>PNG RGBA</x:v>
      </x:c>
      <x:c r="F37" s="24" t="str">
        <x:v>256x256</x:v>
      </x:c>
      <x:c r="G37" s="24" t="str">
        <x:v>Yes</x:v>
      </x:c>
      <x:c r="H37" s="24" t="str">
        <x:v>Pulse</x:v>
      </x:c>
      <x:c r="I37" s="24" t="str">
        <x:v>AI/manual</x:v>
      </x:c>
      <x:c r="J37" s="24" t="str">
        <x:v>Assets/_Game/Art/UI/UI_Fever.png</x:v>
      </x:c>
      <x:c r="K37" s="24" t="str">
        <x:v>Todo</x:v>
      </x:c>
      <x:c r="L37" s="24" t="str">
        <x:v>P1</x:v>
      </x:c>
      <x:c r="M37" s="24" t="str"/>
      <x:c r="N37" s="24" t="str"/>
      <x:c r="O37" s="24" t="str">
        <x:v>TBD</x:v>
      </x:c>
    </x:row>
    <x:row r="38">
      <x:c r="A38" s="24" t="str">
        <x:v>AUD001</x:v>
      </x:c>
      <x:c r="B38" s="24" t="str">
        <x:v>Audio</x:v>
      </x:c>
      <x:c r="C38" s="24" t="str">
        <x:v>Menu BGM</x:v>
      </x:c>
      <x:c r="D38" s="24" t="str">
        <x:v>Main menu ambience</x:v>
      </x:c>
      <x:c r="E38" s="24" t="str">
        <x:v>WAV master / OGG runtime</x:v>
      </x:c>
      <x:c r="F38" s="24" t="str">
        <x:v>60-90s</x:v>
      </x:c>
      <x:c r="G38" s="24" t="str">
        <x:v>No</x:v>
      </x:c>
      <x:c r="H38" s="24" t="str">
        <x:v>Loop</x:v>
      </x:c>
      <x:c r="I38" s="24" t="str">
        <x:v>AI/audio tool</x:v>
      </x:c>
      <x:c r="J38" s="24" t="str">
        <x:v>Assets/_Game/Audio/Music/BGM_Menu.wav</x:v>
      </x:c>
      <x:c r="K38" s="24" t="str">
        <x:v>Todo</x:v>
      </x:c>
      <x:c r="L38" s="24" t="str">
        <x:v>P2</x:v>
      </x:c>
      <x:c r="M38" s="24" t="str"/>
      <x:c r="N38" s="24" t="str">
        <x:v>Calm biomedical</x:v>
      </x:c>
      <x:c r="O38" s="24" t="str">
        <x:v>Check provider terms</x:v>
      </x:c>
    </x:row>
    <x:row r="39">
      <x:c r="A39" s="24" t="str">
        <x:v>AUD002</x:v>
      </x:c>
      <x:c r="B39" s="24" t="str">
        <x:v>Audio</x:v>
      </x:c>
      <x:c r="C39" s="24" t="str">
        <x:v>Battle BGM</x:v>
      </x:c>
      <x:c r="D39" s="24" t="str">
        <x:v>Main battle loop</x:v>
      </x:c>
      <x:c r="E39" s="24" t="str">
        <x:v>WAV master / OGG runtime</x:v>
      </x:c>
      <x:c r="F39" s="24" t="str">
        <x:v>90-120s</x:v>
      </x:c>
      <x:c r="G39" s="24" t="str">
        <x:v>No</x:v>
      </x:c>
      <x:c r="H39" s="24" t="str">
        <x:v>Loop</x:v>
      </x:c>
      <x:c r="I39" s="24" t="str">
        <x:v>AI/audio tool</x:v>
      </x:c>
      <x:c r="J39" s="24" t="str">
        <x:v>Assets/_Game/Audio/Music/BGM_Battle.wav</x:v>
      </x:c>
      <x:c r="K39" s="24" t="str">
        <x:v>Todo</x:v>
      </x:c>
      <x:c r="L39" s="24" t="str">
        <x:v>P2</x:v>
      </x:c>
      <x:c r="M39" s="24" t="str"/>
      <x:c r="N39" s="24" t="str">
        <x:v>Light tactical pulse</x:v>
      </x:c>
      <x:c r="O39" s="24" t="str">
        <x:v>Check provider terms</x:v>
      </x:c>
    </x:row>
    <x:row r="40">
      <x:c r="A40" s="24" t="str">
        <x:v>AUD003</x:v>
      </x:c>
      <x:c r="B40" s="24" t="str">
        <x:v>Audio</x:v>
      </x:c>
      <x:c r="C40" s="24" t="str">
        <x:v>UI Click</x:v>
      </x:c>
      <x:c r="D40" s="24" t="str">
        <x:v>Button click</x:v>
      </x:c>
      <x:c r="E40" s="24" t="str">
        <x:v>WAV 48kHz</x:v>
      </x:c>
      <x:c r="F40" s="24" t="str">
        <x:v>&lt;1s</x:v>
      </x:c>
      <x:c r="G40" s="24" t="str">
        <x:v>No</x:v>
      </x:c>
      <x:c r="H40" s="24" t="str">
        <x:v>None</x:v>
      </x:c>
      <x:c r="I40" s="24" t="str">
        <x:v>AI/audio tool</x:v>
      </x:c>
      <x:c r="J40" s="24" t="str">
        <x:v>Assets/_Game/Audio/SFX/SFX_UI_Click_01.wav</x:v>
      </x:c>
      <x:c r="K40" s="24" t="str">
        <x:v>Todo</x:v>
      </x:c>
      <x:c r="L40" s="24" t="str">
        <x:v>P1</x:v>
      </x:c>
      <x:c r="M40" s="24" t="str"/>
      <x:c r="N40" s="24" t="str"/>
      <x:c r="O40" s="24" t="str">
        <x:v>Check provider terms</x:v>
      </x:c>
    </x:row>
    <x:row r="41">
      <x:c r="A41" s="24" t="str">
        <x:v>AUD004</x:v>
      </x:c>
      <x:c r="B41" s="24" t="str">
        <x:v>Audio</x:v>
      </x:c>
      <x:c r="C41" s="24" t="str">
        <x:v>UI Error</x:v>
      </x:c>
      <x:c r="D41" s="24" t="str">
        <x:v>Invalid action</x:v>
      </x:c>
      <x:c r="E41" s="24" t="str">
        <x:v>WAV 48kHz</x:v>
      </x:c>
      <x:c r="F41" s="24" t="str">
        <x:v>&lt;1s</x:v>
      </x:c>
      <x:c r="G41" s="24" t="str">
        <x:v>No</x:v>
      </x:c>
      <x:c r="H41" s="24" t="str">
        <x:v>None</x:v>
      </x:c>
      <x:c r="I41" s="24" t="str">
        <x:v>AI/audio tool</x:v>
      </x:c>
      <x:c r="J41" s="24" t="str">
        <x:v>Assets/_Game/Audio/SFX/SFX_UI_Error_01.wav</x:v>
      </x:c>
      <x:c r="K41" s="24" t="str">
        <x:v>Todo</x:v>
      </x:c>
      <x:c r="L41" s="24" t="str">
        <x:v>P1</x:v>
      </x:c>
      <x:c r="M41" s="24" t="str"/>
      <x:c r="N41" s="24" t="str"/>
      <x:c r="O41" s="24" t="str">
        <x:v>Check provider terms</x:v>
      </x:c>
    </x:row>
    <x:row r="42">
      <x:c r="A42" s="24" t="str">
        <x:v>AUD005</x:v>
      </x:c>
      <x:c r="B42" s="24" t="str">
        <x:v>Audio</x:v>
      </x:c>
      <x:c r="C42" s="24" t="str">
        <x:v>T-Cell Attack</x:v>
      </x:c>
      <x:c r="D42" s="24" t="str">
        <x:v>T-Cell attack SFX</x:v>
      </x:c>
      <x:c r="E42" s="24" t="str">
        <x:v>WAV 48kHz</x:v>
      </x:c>
      <x:c r="F42" s="24" t="str">
        <x:v>0.2-0.5s</x:v>
      </x:c>
      <x:c r="G42" s="24" t="str">
        <x:v>No</x:v>
      </x:c>
      <x:c r="H42" s="24" t="str">
        <x:v>None</x:v>
      </x:c>
      <x:c r="I42" s="24" t="str">
        <x:v>AI/audio tool</x:v>
      </x:c>
      <x:c r="J42" s="24" t="str">
        <x:v>Assets/_Game/Audio/SFX/SFX_TCell_Attack_01.wav</x:v>
      </x:c>
      <x:c r="K42" s="24" t="str">
        <x:v>Todo</x:v>
      </x:c>
      <x:c r="L42" s="24" t="str">
        <x:v>P0</x:v>
      </x:c>
      <x:c r="M42" s="24" t="str"/>
      <x:c r="N42" s="24" t="str"/>
      <x:c r="O42" s="24" t="str">
        <x:v>Check provider terms</x:v>
      </x:c>
    </x:row>
    <x:row r="43">
      <x:c r="A43" s="24" t="str">
        <x:v>AUD006</x:v>
      </x:c>
      <x:c r="B43" s="24" t="str">
        <x:v>Audio</x:v>
      </x:c>
      <x:c r="C43" s="24" t="str">
        <x:v>Virus Death</x:v>
      </x:c>
      <x:c r="D43" s="24" t="str">
        <x:v>Basic virus death</x:v>
      </x:c>
      <x:c r="E43" s="24" t="str">
        <x:v>WAV 48kHz</x:v>
      </x:c>
      <x:c r="F43" s="24" t="str">
        <x:v>0.2-0.5s</x:v>
      </x:c>
      <x:c r="G43" s="24" t="str">
        <x:v>No</x:v>
      </x:c>
      <x:c r="H43" s="24" t="str">
        <x:v>None</x:v>
      </x:c>
      <x:c r="I43" s="24" t="str">
        <x:v>AI/audio tool</x:v>
      </x:c>
      <x:c r="J43" s="24" t="str">
        <x:v>Assets/_Game/Audio/SFX/SFX_Virus_Death_01.wav</x:v>
      </x:c>
      <x:c r="K43" s="24" t="str">
        <x:v>Todo</x:v>
      </x:c>
      <x:c r="L43" s="24" t="str">
        <x:v>P0</x:v>
      </x:c>
      <x:c r="M43" s="24" t="str"/>
      <x:c r="N43" s="24" t="str"/>
      <x:c r="O43" s="24" t="str">
        <x:v>Check provider terms</x:v>
      </x:c>
    </x:row>
    <x:row r="44">
      <x:c r="A44" s="24" t="str">
        <x:v>AUD007</x:v>
      </x:c>
      <x:c r="B44" s="24" t="str">
        <x:v>Audio</x:v>
      </x:c>
      <x:c r="C44" s="24" t="str">
        <x:v>B-Cell Antibody</x:v>
      </x:c>
      <x:c r="D44" s="24" t="str">
        <x:v>B-Cell attack</x:v>
      </x:c>
      <x:c r="E44" s="24" t="str">
        <x:v>WAV 48kHz</x:v>
      </x:c>
      <x:c r="F44" s="24" t="str">
        <x:v>0.2-0.5s</x:v>
      </x:c>
      <x:c r="G44" s="24" t="str">
        <x:v>No</x:v>
      </x:c>
      <x:c r="H44" s="24" t="str">
        <x:v>None</x:v>
      </x:c>
      <x:c r="I44" s="24" t="str">
        <x:v>AI/audio tool</x:v>
      </x:c>
      <x:c r="J44" s="24" t="str">
        <x:v>Assets/_Game/Audio/SFX/SFX_BCell_Antibody_01.wav</x:v>
      </x:c>
      <x:c r="K44" s="24" t="str">
        <x:v>Todo</x:v>
      </x:c>
      <x:c r="L44" s="24" t="str">
        <x:v>P1</x:v>
      </x:c>
      <x:c r="M44" s="24" t="str"/>
      <x:c r="N44" s="24" t="str"/>
      <x:c r="O44" s="24" t="str">
        <x:v>Check provider terms</x:v>
      </x:c>
    </x:row>
    <x:row r="45">
      <x:c r="A45" s="24" t="str">
        <x:v>AUD008</x:v>
      </x:c>
      <x:c r="B45" s="24" t="str">
        <x:v>Audio</x:v>
      </x:c>
      <x:c r="C45" s="24" t="str">
        <x:v>NK Attack</x:v>
      </x:c>
      <x:c r="D45" s="24" t="str">
        <x:v>NK attack</x:v>
      </x:c>
      <x:c r="E45" s="24" t="str">
        <x:v>WAV 48kHz</x:v>
      </x:c>
      <x:c r="F45" s="24" t="str">
        <x:v>0.2-0.5s</x:v>
      </x:c>
      <x:c r="G45" s="24" t="str">
        <x:v>No</x:v>
      </x:c>
      <x:c r="H45" s="24" t="str">
        <x:v>None</x:v>
      </x:c>
      <x:c r="I45" s="24" t="str">
        <x:v>AI/audio tool</x:v>
      </x:c>
      <x:c r="J45" s="24" t="str">
        <x:v>Assets/_Game/Audio/SFX/SFX_NK_Attack_01.wav</x:v>
      </x:c>
      <x:c r="K45" s="24" t="str">
        <x:v>Todo</x:v>
      </x:c>
      <x:c r="L45" s="24" t="str">
        <x:v>P1</x:v>
      </x:c>
      <x:c r="M45" s="24" t="str"/>
      <x:c r="N45" s="24" t="str"/>
      <x:c r="O45" s="24" t="str">
        <x:v>Check provider terms</x:v>
      </x:c>
    </x:row>
    <x:row r="46">
      <x:c r="A46" s="24" t="str">
        <x:v>AUD009</x:v>
      </x:c>
      <x:c r="B46" s="24" t="str">
        <x:v>Audio</x:v>
      </x:c>
      <x:c r="C46" s="24" t="str">
        <x:v>Platelet Heal</x:v>
      </x:c>
      <x:c r="D46" s="24" t="str">
        <x:v>Heal feedback</x:v>
      </x:c>
      <x:c r="E46" s="24" t="str">
        <x:v>WAV 48kHz</x:v>
      </x:c>
      <x:c r="F46" s="24" t="str">
        <x:v>0.3-0.8s</x:v>
      </x:c>
      <x:c r="G46" s="24" t="str">
        <x:v>No</x:v>
      </x:c>
      <x:c r="H46" s="24" t="str">
        <x:v>None</x:v>
      </x:c>
      <x:c r="I46" s="24" t="str">
        <x:v>AI/audio tool</x:v>
      </x:c>
      <x:c r="J46" s="24" t="str">
        <x:v>Assets/_Game/Audio/SFX/SFX_Platelet_Heal_01.wav</x:v>
      </x:c>
      <x:c r="K46" s="24" t="str">
        <x:v>Todo</x:v>
      </x:c>
      <x:c r="L46" s="24" t="str">
        <x:v>P1</x:v>
      </x:c>
      <x:c r="M46" s="24" t="str"/>
      <x:c r="N46" s="24" t="str"/>
      <x:c r="O46" s="24" t="str">
        <x:v>Check provider terms</x:v>
      </x:c>
    </x:row>
    <x:row r="47">
      <x:c r="A47" s="24" t="str">
        <x:v>AUD010</x:v>
      </x:c>
      <x:c r="B47" s="24" t="str">
        <x:v>Audio</x:v>
      </x:c>
      <x:c r="C47" s="24" t="str">
        <x:v>Energy Generate</x:v>
      </x:c>
      <x:c r="D47" s="24" t="str">
        <x:v>ATP tick</x:v>
      </x:c>
      <x:c r="E47" s="24" t="str">
        <x:v>WAV 48kHz</x:v>
      </x:c>
      <x:c r="F47" s="24" t="str">
        <x:v>0.2-0.6s</x:v>
      </x:c>
      <x:c r="G47" s="24" t="str">
        <x:v>No</x:v>
      </x:c>
      <x:c r="H47" s="24" t="str">
        <x:v>None</x:v>
      </x:c>
      <x:c r="I47" s="24" t="str">
        <x:v>AI/audio tool</x:v>
      </x:c>
      <x:c r="J47" s="24" t="str">
        <x:v>Assets/_Game/Audio/SFX/SFX_ATP_Generate_01.wav</x:v>
      </x:c>
      <x:c r="K47" s="24" t="str">
        <x:v>Todo</x:v>
      </x:c>
      <x:c r="L47" s="24" t="str">
        <x:v>P1</x:v>
      </x:c>
      <x:c r="M47" s="24" t="str"/>
      <x:c r="N47" s="24" t="str"/>
      <x:c r="O47" s="24" t="str">
        <x:v>Check provider terms</x:v>
      </x:c>
    </x:row>
    <x:row r="48">
      <x:c r="A48" s="24" t="str">
        <x:v>AUD011</x:v>
      </x:c>
      <x:c r="B48" s="24" t="str">
        <x:v>Audio</x:v>
      </x:c>
      <x:c r="C48" s="24" t="str">
        <x:v>Infection Start</x:v>
      </x:c>
      <x:c r="D48" s="24" t="str">
        <x:v>Infection warning</x:v>
      </x:c>
      <x:c r="E48" s="24" t="str">
        <x:v>WAV 48kHz</x:v>
      </x:c>
      <x:c r="F48" s="24" t="str">
        <x:v>0.5-1.0s</x:v>
      </x:c>
      <x:c r="G48" s="24" t="str">
        <x:v>No</x:v>
      </x:c>
      <x:c r="H48" s="24" t="str">
        <x:v>None</x:v>
      </x:c>
      <x:c r="I48" s="24" t="str">
        <x:v>AI/audio tool</x:v>
      </x:c>
      <x:c r="J48" s="24" t="str">
        <x:v>Assets/_Game/Audio/SFX/SFX_Infection_Start_01.wav</x:v>
      </x:c>
      <x:c r="K48" s="24" t="str">
        <x:v>Todo</x:v>
      </x:c>
      <x:c r="L48" s="24" t="str">
        <x:v>P1</x:v>
      </x:c>
      <x:c r="M48" s="24" t="str"/>
      <x:c r="N48" s="24" t="str"/>
      <x:c r="O48" s="24" t="str">
        <x:v>Check provider terms</x:v>
      </x:c>
    </x:row>
    <x:row r="49">
      <x:c r="A49" s="24" t="str">
        <x:v>AUD012</x:v>
      </x:c>
      <x:c r="B49" s="24" t="str">
        <x:v>Audio</x:v>
      </x:c>
      <x:c r="C49" s="24" t="str">
        <x:v>Infection Cleanse</x:v>
      </x:c>
      <x:c r="D49" s="24" t="str">
        <x:v>Cleanse success</x:v>
      </x:c>
      <x:c r="E49" s="24" t="str">
        <x:v>WAV 48kHz</x:v>
      </x:c>
      <x:c r="F49" s="24" t="str">
        <x:v>0.4-0.8s</x:v>
      </x:c>
      <x:c r="G49" s="24" t="str">
        <x:v>No</x:v>
      </x:c>
      <x:c r="H49" s="24" t="str">
        <x:v>None</x:v>
      </x:c>
      <x:c r="I49" s="24" t="str">
        <x:v>AI/audio tool</x:v>
      </x:c>
      <x:c r="J49" s="24" t="str">
        <x:v>Assets/_Game/Audio/SFX/SFX_Infection_Cleanse_01.wav</x:v>
      </x:c>
      <x:c r="K49" s="24" t="str">
        <x:v>Todo</x:v>
      </x:c>
      <x:c r="L49" s="24" t="str">
        <x:v>P1</x:v>
      </x:c>
      <x:c r="M49" s="24" t="str"/>
      <x:c r="N49" s="24" t="str"/>
      <x:c r="O49" s="24" t="str">
        <x:v>Check provider terms</x:v>
      </x:c>
    </x:row>
    <x:row r="50">
      <x:c r="A50" s="24" t="str">
        <x:v>AUD013</x:v>
      </x:c>
      <x:c r="B50" s="24" t="str">
        <x:v>Audio</x:v>
      </x:c>
      <x:c r="C50" s="24" t="str">
        <x:v>Fever Activate</x:v>
      </x:c>
      <x:c r="D50" s="24" t="str">
        <x:v>Fever mode activation</x:v>
      </x:c>
      <x:c r="E50" s="24" t="str">
        <x:v>WAV 48kHz</x:v>
      </x:c>
      <x:c r="F50" s="24" t="str">
        <x:v>0.6-1.2s</x:v>
      </x:c>
      <x:c r="G50" s="24" t="str">
        <x:v>No</x:v>
      </x:c>
      <x:c r="H50" s="24" t="str">
        <x:v>None</x:v>
      </x:c>
      <x:c r="I50" s="24" t="str">
        <x:v>AI/audio tool</x:v>
      </x:c>
      <x:c r="J50" s="24" t="str">
        <x:v>Assets/_Game/Audio/SFX/SFX_Fever_Activate_01.wav</x:v>
      </x:c>
      <x:c r="K50" s="24" t="str">
        <x:v>Todo</x:v>
      </x:c>
      <x:c r="L50" s="24" t="str">
        <x:v>P1</x:v>
      </x:c>
      <x:c r="M50" s="24" t="str"/>
      <x:c r="N50" s="24" t="str"/>
      <x:c r="O50" s="24" t="str">
        <x:v>Check provider terms</x:v>
      </x:c>
    </x:row>
    <x:row r="51">
      <x:c r="A51" s="24" t="str">
        <x:v>AUD014</x:v>
      </x:c>
      <x:c r="B51" s="24" t="str">
        <x:v>Audio</x:v>
      </x:c>
      <x:c r="C51" s="24" t="str">
        <x:v>Vitality Damage</x:v>
      </x:c>
      <x:c r="D51" s="24" t="str">
        <x:v>Goal damage warning</x:v>
      </x:c>
      <x:c r="E51" s="24" t="str">
        <x:v>WAV 48kHz</x:v>
      </x:c>
      <x:c r="F51" s="24" t="str">
        <x:v>0.3-0.8s</x:v>
      </x:c>
      <x:c r="G51" s="24" t="str">
        <x:v>No</x:v>
      </x:c>
      <x:c r="H51" s="24" t="str">
        <x:v>None</x:v>
      </x:c>
      <x:c r="I51" s="24" t="str">
        <x:v>AI/audio tool</x:v>
      </x:c>
      <x:c r="J51" s="24" t="str">
        <x:v>Assets/_Game/Audio/SFX/SFX_Vitality_Damage_01.wav</x:v>
      </x:c>
      <x:c r="K51" s="24" t="str">
        <x:v>Todo</x:v>
      </x:c>
      <x:c r="L51" s="24" t="str">
        <x:v>P1</x:v>
      </x:c>
      <x:c r="M51" s="24" t="str"/>
      <x:c r="N51" s="24" t="str"/>
      <x:c r="O51" s="24" t="str">
        <x:v>Check provider terms</x:v>
      </x:c>
    </x:row>
    <x:row r="52">
      <x:c r="A52" s="24" t="str">
        <x:v>AUD015</x:v>
      </x:c>
      <x:c r="B52" s="24" t="str">
        <x:v>Audio</x:v>
      </x:c>
      <x:c r="C52" s="24" t="str">
        <x:v>Boss Phase</x:v>
      </x:c>
      <x:c r="D52" s="24" t="str">
        <x:v>Boss transition</x:v>
      </x:c>
      <x:c r="E52" s="24" t="str">
        <x:v>WAV 48kHz</x:v>
      </x:c>
      <x:c r="F52" s="24" t="str">
        <x:v>0.8-1.5s</x:v>
      </x:c>
      <x:c r="G52" s="24" t="str">
        <x:v>No</x:v>
      </x:c>
      <x:c r="H52" s="24" t="str">
        <x:v>None</x:v>
      </x:c>
      <x:c r="I52" s="24" t="str">
        <x:v>AI/audio tool</x:v>
      </x:c>
      <x:c r="J52" s="24" t="str">
        <x:v>Assets/_Game/Audio/SFX/SFX_Boss_Phase_01.wav</x:v>
      </x:c>
      <x:c r="K52" s="24" t="str">
        <x:v>Todo</x:v>
      </x:c>
      <x:c r="L52" s="24" t="str">
        <x:v>P1</x:v>
      </x:c>
      <x:c r="M52" s="24" t="str"/>
      <x:c r="N52" s="24" t="str"/>
      <x:c r="O52" s="24" t="str">
        <x:v>Check provider terms</x:v>
      </x:c>
    </x:row>
  </x:sheetData>
  <x:conditionalFormatting sqref="K2:K52">
    <x:cfRule type="expression" dxfId="0" priority="1">
      <x:formula>K2="Done"</x:formula>
    </x:cfRule>
    <x:cfRule type="expression" dxfId="1" priority="2">
      <x:formula>K2="In Progress"</x:formula>
    </x:cfRule>
    <x:cfRule type="expression" dxfId="2" priority="3">
      <x:formula>K2="Review"</x:formula>
    </x:cfRule>
    <x:cfRule type="expression" dxfId="3" priority="4">
      <x:formula>K2="Todo"</x:formula>
    </x:cfRule>
  </x:conditionalFormatting>
  <x:conditionalFormatting sqref="L2:L52">
    <x:cfRule type="expression" dxfId="4" priority="5">
      <x:formula>L2="P0"</x:formula>
    </x:cfRule>
    <x:cfRule type="expression" dxfId="5" priority="6">
      <x:formula>L2="P1"</x:formula>
    </x:cfRule>
  </x:conditionalFormatting>
  <x:dataValidations count="3">
    <x:dataValidation type="list" sqref="K2:K52">
      <x:formula1>Lookup!$A$2:$A$5</x:formula1>
    </x:dataValidation>
    <x:dataValidation type="list" sqref="L2:L52">
      <x:formula1>Lookup!$B$2:$B$5</x:formula1>
    </x:dataValidation>
    <x:dataValidation type="list" sqref="M2:M52">
      <x:formula1>Lookup!$C$2:$C$5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8a0a9f1dd343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Status</x:v>
      </x:c>
      <x:c r="B1" s="16" t="str">
        <x:v>Priority</x:v>
      </x:c>
      <x:c r="C1" s="16" t="str">
        <x:v>Owner</x:v>
      </x:c>
    </x:row>
    <x:row r="2">
      <x:c r="A2" t="str">
        <x:v>Todo</x:v>
      </x:c>
      <x:c r="B2" t="str">
        <x:v>P0</x:v>
      </x:c>
      <x:c r="C2" t="str">
        <x:v>Member A</x:v>
      </x:c>
    </x:row>
    <x:row r="3">
      <x:c r="A3" t="str">
        <x:v>In Progress</x:v>
      </x:c>
      <x:c r="B3" t="str">
        <x:v>P1</x:v>
      </x:c>
      <x:c r="C3" t="str">
        <x:v>Member B</x:v>
      </x:c>
    </x:row>
    <x:row r="4">
      <x:c r="A4" t="str">
        <x:v>Review</x:v>
      </x:c>
      <x:c r="B4" t="str">
        <x:v>P2</x:v>
      </x:c>
      <x:c r="C4" t="str">
        <x:v>Member C</x:v>
      </x:c>
    </x:row>
    <x:row r="5">
      <x:c r="A5" t="str">
        <x:v>Done</x:v>
      </x:c>
      <x:c r="B5" t="str">
        <x:v>P3</x:v>
      </x:c>
      <x:c r="C5" t="str">
        <x:v>Member D</x:v>
      </x:c>
    </x:row>
  </x:sheetData>
  <x:pageMargins left="0.7" right="0.7" top="0.75" bottom="0.75" header="0.3" footer="0.3"/>
</x:worksheet>
</file>